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ytedance/Desktop/"/>
    </mc:Choice>
  </mc:AlternateContent>
  <xr:revisionPtr revIDLastSave="0" documentId="13_ncr:1_{AC722604-A289-F143-9049-7ED7E7B5DE96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kyreelsV2-Chunkwise" sheetId="1" r:id="rId1"/>
    <sheet name="Bas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2" i="10"/>
  <c r="B1" i="10"/>
  <c r="E70" i="1"/>
  <c r="I68" i="1"/>
  <c r="E67" i="1"/>
  <c r="E64" i="1"/>
  <c r="G63" i="1"/>
  <c r="I62" i="1"/>
  <c r="H62" i="1"/>
  <c r="G62" i="1"/>
  <c r="E61" i="1"/>
  <c r="O60" i="1"/>
  <c r="O59" i="1"/>
  <c r="E59" i="1"/>
  <c r="P58" i="1"/>
  <c r="O58" i="1"/>
  <c r="O57" i="1"/>
  <c r="E57" i="1"/>
  <c r="E56" i="1"/>
  <c r="E52" i="1"/>
  <c r="E50" i="1"/>
  <c r="O49" i="1"/>
  <c r="O48" i="1"/>
  <c r="E48" i="1"/>
  <c r="B32" i="1"/>
  <c r="B31" i="1"/>
  <c r="P59" i="1" s="1"/>
  <c r="B30" i="1"/>
  <c r="J29" i="1"/>
  <c r="I29" i="1"/>
  <c r="H29" i="1"/>
  <c r="G29" i="1"/>
  <c r="F29" i="1"/>
  <c r="B29" i="1"/>
  <c r="J28" i="1"/>
  <c r="I28" i="1"/>
  <c r="H28" i="1"/>
  <c r="G28" i="1"/>
  <c r="F28" i="1"/>
  <c r="B28" i="1"/>
  <c r="F27" i="1"/>
  <c r="B27" i="1"/>
  <c r="F12" i="1"/>
  <c r="F7" i="1"/>
  <c r="P60" i="1" l="1"/>
  <c r="O50" i="1"/>
  <c r="H68" i="1"/>
  <c r="B34" i="1"/>
  <c r="B35" i="1" s="1"/>
  <c r="J56" i="1" s="1"/>
  <c r="F65" i="1"/>
  <c r="G70" i="1"/>
  <c r="G68" i="1"/>
  <c r="I61" i="1"/>
  <c r="F70" i="1"/>
  <c r="F67" i="1"/>
  <c r="G61" i="1"/>
  <c r="F61" i="1"/>
  <c r="G56" i="1"/>
  <c r="J51" i="1"/>
  <c r="G71" i="1"/>
  <c r="G66" i="1"/>
  <c r="H53" i="1"/>
  <c r="H51" i="1"/>
  <c r="F52" i="1"/>
  <c r="F50" i="1"/>
  <c r="H61" i="1"/>
  <c r="H50" i="1"/>
  <c r="I71" i="1"/>
  <c r="H59" i="1"/>
  <c r="H48" i="1"/>
  <c r="I52" i="1"/>
  <c r="J54" i="1"/>
  <c r="G59" i="1"/>
  <c r="J61" i="1"/>
  <c r="F63" i="1"/>
  <c r="G65" i="1"/>
  <c r="P57" i="1"/>
  <c r="J48" i="1"/>
  <c r="F55" i="1"/>
  <c r="F57" i="1"/>
  <c r="I59" i="1"/>
  <c r="O61" i="1"/>
  <c r="O62" i="1" s="1"/>
  <c r="F41" i="1" s="1"/>
  <c r="H63" i="1"/>
  <c r="E51" i="1"/>
  <c r="E53" i="1"/>
  <c r="P61" i="1"/>
  <c r="I63" i="1"/>
  <c r="J65" i="1"/>
  <c r="I72" i="1"/>
  <c r="F51" i="1"/>
  <c r="F53" i="1"/>
  <c r="E62" i="1"/>
  <c r="J63" i="1"/>
  <c r="E68" i="1"/>
  <c r="E71" i="1"/>
  <c r="J72" i="1"/>
  <c r="B33" i="1"/>
  <c r="J52" i="1"/>
  <c r="F8" i="1"/>
  <c r="F9" i="1" s="1"/>
  <c r="G51" i="1"/>
  <c r="G53" i="1"/>
  <c r="I55" i="1"/>
  <c r="I57" i="1"/>
  <c r="F62" i="1"/>
  <c r="F68" i="1"/>
  <c r="F71" i="1"/>
  <c r="J68" i="1"/>
  <c r="J71" i="1"/>
  <c r="J62" i="1"/>
  <c r="I64" i="1"/>
  <c r="J64" i="1"/>
  <c r="G48" i="1"/>
  <c r="J50" i="1"/>
  <c r="E63" i="1"/>
  <c r="E72" i="1"/>
  <c r="I53" i="1" l="1"/>
  <c r="J59" i="1"/>
  <c r="I70" i="1"/>
  <c r="B36" i="1"/>
  <c r="P49" i="1" s="1"/>
  <c r="F64" i="1"/>
  <c r="G72" i="1"/>
  <c r="G67" i="1"/>
  <c r="F66" i="1"/>
  <c r="H57" i="1"/>
  <c r="G57" i="1"/>
  <c r="K57" i="1" s="1"/>
  <c r="I67" i="1"/>
  <c r="H65" i="1"/>
  <c r="H66" i="1"/>
  <c r="K62" i="1"/>
  <c r="H55" i="1"/>
  <c r="G55" i="1"/>
  <c r="G52" i="1"/>
  <c r="H71" i="1"/>
  <c r="K71" i="1" s="1"/>
  <c r="I66" i="1"/>
  <c r="K63" i="1"/>
  <c r="P62" i="1"/>
  <c r="F72" i="1"/>
  <c r="K72" i="1" s="1"/>
  <c r="F56" i="1"/>
  <c r="K56" i="1" s="1"/>
  <c r="H52" i="1"/>
  <c r="K55" i="1"/>
  <c r="K52" i="1"/>
  <c r="G54" i="1"/>
  <c r="K54" i="1" s="1"/>
  <c r="H64" i="1"/>
  <c r="I48" i="1"/>
  <c r="H72" i="1"/>
  <c r="H56" i="1"/>
  <c r="J57" i="1"/>
  <c r="I56" i="1"/>
  <c r="J70" i="1"/>
  <c r="J55" i="1"/>
  <c r="H70" i="1"/>
  <c r="K70" i="1" s="1"/>
  <c r="H54" i="1"/>
  <c r="G50" i="1"/>
  <c r="J66" i="1"/>
  <c r="F48" i="1"/>
  <c r="K48" i="1" s="1"/>
  <c r="F59" i="1"/>
  <c r="K59" i="1" s="1"/>
  <c r="I50" i="1"/>
  <c r="J67" i="1"/>
  <c r="I54" i="1"/>
  <c r="J53" i="1"/>
  <c r="I65" i="1"/>
  <c r="H67" i="1"/>
  <c r="G64" i="1"/>
  <c r="K64" i="1" s="1"/>
  <c r="I51" i="1"/>
  <c r="K51" i="1" s="1"/>
  <c r="F54" i="1"/>
  <c r="H74" i="1"/>
  <c r="K53" i="1"/>
  <c r="K61" i="1"/>
  <c r="K68" i="1"/>
  <c r="E74" i="1"/>
  <c r="G74" i="1" l="1"/>
  <c r="K65" i="1"/>
  <c r="K66" i="1"/>
  <c r="K67" i="1"/>
  <c r="P48" i="1"/>
  <c r="P50" i="1" s="1"/>
  <c r="J74" i="1"/>
  <c r="I74" i="1"/>
  <c r="F74" i="1"/>
  <c r="K74" i="1" s="1"/>
  <c r="K50" i="1"/>
  <c r="J41" i="1" s="1"/>
  <c r="H41" i="1"/>
  <c r="O71" i="1"/>
  <c r="O72" i="1"/>
  <c r="B41" i="1" s="1"/>
  <c r="G41" i="1" s="1"/>
  <c r="D41" i="1"/>
  <c r="E41" i="1" s="1"/>
  <c r="P71" i="1" l="1"/>
  <c r="P72" i="1"/>
  <c r="C41" i="1" s="1"/>
  <c r="K41" i="1" l="1"/>
  <c r="I41" i="1"/>
</calcChain>
</file>

<file path=xl/sharedStrings.xml><?xml version="1.0" encoding="utf-8"?>
<sst xmlns="http://schemas.openxmlformats.org/spreadsheetml/2006/main" count="122" uniqueCount="100">
  <si>
    <t>num_frames</t>
  </si>
  <si>
    <t>ar_step</t>
  </si>
  <si>
    <t>causal_block_size</t>
  </si>
  <si>
    <t>base_num_frames</t>
  </si>
  <si>
    <t>overlap_history</t>
  </si>
  <si>
    <t>inference_steps</t>
  </si>
  <si>
    <t>cnt</t>
  </si>
  <si>
    <t>num_steps</t>
  </si>
  <si>
    <t>block1</t>
  </si>
  <si>
    <t>n_iter</t>
  </si>
  <si>
    <t>max_n_iter</t>
  </si>
  <si>
    <t>block2</t>
  </si>
  <si>
    <t>addnoise_condition</t>
  </si>
  <si>
    <t>sum_steps</t>
  </si>
  <si>
    <t>block3</t>
  </si>
  <si>
    <t>guidance_scale</t>
  </si>
  <si>
    <t>block4</t>
  </si>
  <si>
    <t>shift</t>
  </si>
  <si>
    <t>ret_steps</t>
  </si>
  <si>
    <t>block5</t>
  </si>
  <si>
    <t>fps</t>
  </si>
  <si>
    <t>cutoff_steps</t>
  </si>
  <si>
    <t>height</t>
  </si>
  <si>
    <t>num_groups</t>
  </si>
  <si>
    <t>width</t>
  </si>
  <si>
    <t>in_dim</t>
  </si>
  <si>
    <t>out_dim</t>
  </si>
  <si>
    <t>dim</t>
  </si>
  <si>
    <t>ffn_dim</t>
  </si>
  <si>
    <t>freq_dim</t>
  </si>
  <si>
    <t>num_heads</t>
  </si>
  <si>
    <t>head_dim</t>
  </si>
  <si>
    <t>text_len</t>
  </si>
  <si>
    <t>text_dim</t>
  </si>
  <si>
    <t>num_layers</t>
  </si>
  <si>
    <t>patch_size</t>
  </si>
  <si>
    <t>1,2,2</t>
  </si>
  <si>
    <t>latent_height</t>
  </si>
  <si>
    <t>output_video</t>
  </si>
  <si>
    <t>latent_width</t>
  </si>
  <si>
    <t>step_update_mask</t>
  </si>
  <si>
    <t>latent_length</t>
  </si>
  <si>
    <t>should_forward_mask</t>
  </si>
  <si>
    <t>overlap_history_frames</t>
  </si>
  <si>
    <t>group_size</t>
  </si>
  <si>
    <t>token_per_frame</t>
  </si>
  <si>
    <t>token_per_block</t>
  </si>
  <si>
    <t>token_per_chunk</t>
  </si>
  <si>
    <t>Params (GB)</t>
  </si>
  <si>
    <t>TFlops</t>
  </si>
  <si>
    <t>MLP+Attn Params (GB)</t>
  </si>
  <si>
    <t>MLP+Attn Params占比 (%)</t>
  </si>
  <si>
    <t>Condition和Head Params (GB)</t>
  </si>
  <si>
    <t>Condition和Head Params占比 (%)</t>
  </si>
  <si>
    <t>FA TFlops</t>
  </si>
  <si>
    <t>FA Flops占比 (%)</t>
  </si>
  <si>
    <t>GEMM TFlops</t>
  </si>
  <si>
    <t>GEMM Flops占比 (%)</t>
  </si>
  <si>
    <t>VideoDiTModel</t>
  </si>
  <si>
    <t>Params</t>
  </si>
  <si>
    <t>ToTal</t>
  </si>
  <si>
    <t>WanAttention</t>
  </si>
  <si>
    <t>norm1_LN</t>
  </si>
  <si>
    <t>Head</t>
  </si>
  <si>
    <t>norm_LN</t>
  </si>
  <si>
    <t>linear</t>
  </si>
  <si>
    <t>Self_Attn</t>
  </si>
  <si>
    <t>self_attn_q</t>
  </si>
  <si>
    <t>Total</t>
  </si>
  <si>
    <t>self_attn_k</t>
  </si>
  <si>
    <t>self_attn_v</t>
  </si>
  <si>
    <t>self_attn_o</t>
  </si>
  <si>
    <t>self_attn_qk</t>
  </si>
  <si>
    <t>self_attn_pv</t>
  </si>
  <si>
    <t>self.norm_q</t>
  </si>
  <si>
    <t>self.norm_k</t>
  </si>
  <si>
    <t>Condition</t>
  </si>
  <si>
    <t>patch_embedding</t>
  </si>
  <si>
    <t>text_embedding</t>
  </si>
  <si>
    <t>norm3_LN</t>
  </si>
  <si>
    <t>time_embedding</t>
  </si>
  <si>
    <t>time_projection</t>
  </si>
  <si>
    <t>Cross_Attn</t>
  </si>
  <si>
    <t>cross_attn_q</t>
  </si>
  <si>
    <t>fps_projection</t>
  </si>
  <si>
    <t>cross_attn_k</t>
  </si>
  <si>
    <t>cross_attn_v</t>
  </si>
  <si>
    <t>cross_attn_o</t>
  </si>
  <si>
    <t>cross_attn_qk</t>
  </si>
  <si>
    <t>cross_attn_pv</t>
  </si>
  <si>
    <t xml:space="preserve">FFN </t>
  </si>
  <si>
    <t>norm2_LN</t>
  </si>
  <si>
    <t>fc1</t>
  </si>
  <si>
    <t>Attention</t>
  </si>
  <si>
    <t>fc2</t>
  </si>
  <si>
    <t>L*Attention+Condition+Head</t>
  </si>
  <si>
    <t>Params Base (GB)</t>
  </si>
  <si>
    <t>TFlops Base (T)</t>
  </si>
  <si>
    <t>Comm Base (MB)</t>
  </si>
  <si>
    <t>VideoDiTModel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</si>
</sst>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_);[Red]\(0.000000000\)"/>
    <numFmt numFmtId="177" formatCode="0.00_ "/>
  </numFmts>
  <fonts count="13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1F2329"/>
      <name val="等线"/>
      <family val="4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/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 style="thin">
        <color indexed="64"/>
      </right>
      <top/>
      <bottom/>
      <diagonal/>
    </border>
    <border>
      <left style="thin">
        <color rgb="FF1F2329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indexed="64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DEE0E3"/>
      </left>
      <right/>
      <top/>
      <bottom/>
      <diagonal/>
    </border>
    <border>
      <left/>
      <right style="thin">
        <color indexed="64"/>
      </right>
      <top style="thin">
        <color rgb="FFDEE0E3"/>
      </top>
      <bottom style="thin">
        <color rgb="FFDEE0E3"/>
      </bottom>
      <diagonal/>
    </border>
    <border>
      <left/>
      <right style="thin">
        <color indexed="64"/>
      </right>
      <top style="thin">
        <color rgb="FFDEE0E3"/>
      </top>
      <bottom/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/>
      <diagonal/>
    </border>
    <border>
      <left/>
      <right/>
      <top/>
      <bottom/>
      <diagonal/>
    </border>
  </borders>
  <cellStyleXfs count="1">
    <xf numFmtId="0" fontId="0" fillId="0" borderId="32">
      <alignment vertical="center"/>
    </xf>
  </cellStyleXfs>
  <cellXfs count="77">
    <xf numFmtId="0" fontId="0" fillId="0" borderId="0" xfId="0" applyBorder="1">
      <alignment vertical="center"/>
    </xf>
    <xf numFmtId="0" fontId="11" fillId="2" borderId="32" xfId="0" applyFont="1" applyFill="1">
      <alignment vertical="center"/>
    </xf>
    <xf numFmtId="0" fontId="11" fillId="0" borderId="32" xfId="0" applyFont="1">
      <alignment vertical="center"/>
    </xf>
    <xf numFmtId="0" fontId="11" fillId="3" borderId="32" xfId="0" applyFont="1" applyFill="1">
      <alignment vertical="center"/>
    </xf>
    <xf numFmtId="0" fontId="11" fillId="0" borderId="32" xfId="0" applyFont="1" applyAlignment="1">
      <alignment horizontal="right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176" fontId="1" fillId="0" borderId="7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176" fontId="1" fillId="0" borderId="9" xfId="0" applyNumberFormat="1" applyFont="1" applyBorder="1">
      <alignment vertical="center"/>
    </xf>
    <xf numFmtId="176" fontId="5" fillId="0" borderId="9" xfId="0" applyNumberFormat="1" applyFont="1" applyBorder="1">
      <alignment vertical="center"/>
    </xf>
    <xf numFmtId="0" fontId="11" fillId="0" borderId="10" xfId="0" applyFont="1" applyBorder="1">
      <alignment vertical="center"/>
    </xf>
    <xf numFmtId="176" fontId="1" fillId="0" borderId="11" xfId="0" applyNumberFormat="1" applyFont="1" applyBorder="1">
      <alignment vertical="center"/>
    </xf>
    <xf numFmtId="176" fontId="1" fillId="0" borderId="32" xfId="0" applyNumberFormat="1" applyFont="1">
      <alignment vertical="center"/>
    </xf>
    <xf numFmtId="176" fontId="1" fillId="0" borderId="12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2" fillId="0" borderId="13" xfId="0" applyNumberFormat="1" applyFont="1" applyBorder="1">
      <alignment vertical="center"/>
    </xf>
    <xf numFmtId="176" fontId="2" fillId="0" borderId="14" xfId="0" applyNumberFormat="1" applyFont="1" applyBorder="1">
      <alignment vertical="center"/>
    </xf>
    <xf numFmtId="176" fontId="11" fillId="0" borderId="32" xfId="0" applyNumberFormat="1" applyFont="1">
      <alignment vertical="center"/>
    </xf>
    <xf numFmtId="176" fontId="6" fillId="0" borderId="16" xfId="0" applyNumberFormat="1" applyFont="1" applyBorder="1">
      <alignment vertical="center"/>
    </xf>
    <xf numFmtId="176" fontId="7" fillId="0" borderId="2" xfId="0" applyNumberFormat="1" applyFont="1" applyBorder="1">
      <alignment vertical="center"/>
    </xf>
    <xf numFmtId="176" fontId="7" fillId="0" borderId="32" xfId="0" applyNumberFormat="1" applyFont="1">
      <alignment vertical="center"/>
    </xf>
    <xf numFmtId="176" fontId="1" fillId="0" borderId="17" xfId="0" applyNumberFormat="1" applyFont="1" applyBorder="1">
      <alignment vertical="center"/>
    </xf>
    <xf numFmtId="176" fontId="1" fillId="0" borderId="2" xfId="0" applyNumberFormat="1" applyFont="1" applyBorder="1">
      <alignment vertical="center"/>
    </xf>
    <xf numFmtId="176" fontId="1" fillId="0" borderId="18" xfId="0" applyNumberFormat="1" applyFont="1" applyBorder="1">
      <alignment vertical="center"/>
    </xf>
    <xf numFmtId="176" fontId="2" fillId="0" borderId="18" xfId="0" applyNumberFormat="1" applyFont="1" applyBorder="1">
      <alignment vertical="center"/>
    </xf>
    <xf numFmtId="176" fontId="6" fillId="0" borderId="32" xfId="0" applyNumberFormat="1" applyFont="1">
      <alignment vertical="center"/>
    </xf>
    <xf numFmtId="176" fontId="1" fillId="0" borderId="20" xfId="0" applyNumberFormat="1" applyFont="1" applyBorder="1">
      <alignment vertical="center"/>
    </xf>
    <xf numFmtId="0" fontId="6" fillId="0" borderId="32" xfId="0" applyFont="1">
      <alignment vertical="center"/>
    </xf>
    <xf numFmtId="0" fontId="6" fillId="0" borderId="22" xfId="0" applyFont="1" applyBorder="1">
      <alignment vertical="center"/>
    </xf>
    <xf numFmtId="0" fontId="7" fillId="0" borderId="14" xfId="0" applyFont="1" applyBorder="1">
      <alignment vertical="center"/>
    </xf>
    <xf numFmtId="176" fontId="7" fillId="0" borderId="18" xfId="0" applyNumberFormat="1" applyFont="1" applyBorder="1">
      <alignment vertical="center"/>
    </xf>
    <xf numFmtId="0" fontId="8" fillId="0" borderId="32" xfId="0" applyFont="1">
      <alignment vertical="center"/>
    </xf>
    <xf numFmtId="176" fontId="11" fillId="0" borderId="22" xfId="0" applyNumberFormat="1" applyFont="1" applyBorder="1">
      <alignment vertical="center"/>
    </xf>
    <xf numFmtId="0" fontId="11" fillId="0" borderId="23" xfId="0" applyFont="1" applyBorder="1">
      <alignment vertical="center"/>
    </xf>
    <xf numFmtId="176" fontId="1" fillId="0" borderId="24" xfId="0" applyNumberFormat="1" applyFont="1" applyBorder="1">
      <alignment vertical="center"/>
    </xf>
    <xf numFmtId="176" fontId="2" fillId="4" borderId="2" xfId="0" applyNumberFormat="1" applyFont="1" applyFill="1" applyBorder="1">
      <alignment vertical="center"/>
    </xf>
    <xf numFmtId="176" fontId="2" fillId="5" borderId="18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176" fontId="1" fillId="0" borderId="25" xfId="0" applyNumberFormat="1" applyFont="1" applyBorder="1">
      <alignment vertical="center"/>
    </xf>
    <xf numFmtId="0" fontId="9" fillId="0" borderId="32" xfId="0" applyFont="1">
      <alignment vertical="center"/>
    </xf>
    <xf numFmtId="176" fontId="6" fillId="0" borderId="10" xfId="0" applyNumberFormat="1" applyFont="1" applyBorder="1">
      <alignment vertical="center"/>
    </xf>
    <xf numFmtId="176" fontId="1" fillId="0" borderId="26" xfId="0" applyNumberFormat="1" applyFont="1" applyBorder="1">
      <alignment vertical="center"/>
    </xf>
    <xf numFmtId="176" fontId="1" fillId="0" borderId="27" xfId="0" applyNumberFormat="1" applyFont="1" applyBorder="1">
      <alignment vertical="center"/>
    </xf>
    <xf numFmtId="176" fontId="1" fillId="0" borderId="28" xfId="0" applyNumberFormat="1" applyFont="1" applyBorder="1">
      <alignment vertical="center"/>
    </xf>
    <xf numFmtId="176" fontId="6" fillId="0" borderId="29" xfId="0" applyNumberFormat="1" applyFont="1" applyBorder="1">
      <alignment vertical="center"/>
    </xf>
    <xf numFmtId="0" fontId="11" fillId="0" borderId="29" xfId="0" applyFont="1" applyBorder="1">
      <alignment vertical="center"/>
    </xf>
    <xf numFmtId="0" fontId="9" fillId="0" borderId="29" xfId="0" applyFont="1" applyBorder="1">
      <alignment vertical="center"/>
    </xf>
    <xf numFmtId="0" fontId="6" fillId="0" borderId="30" xfId="0" applyFont="1" applyBorder="1">
      <alignment vertical="center"/>
    </xf>
    <xf numFmtId="176" fontId="1" fillId="0" borderId="31" xfId="0" applyNumberFormat="1" applyFont="1" applyBorder="1">
      <alignment vertical="center"/>
    </xf>
    <xf numFmtId="0" fontId="10" fillId="6" borderId="2" xfId="0" applyFont="1" applyFill="1" applyBorder="1">
      <alignment vertical="center"/>
    </xf>
    <xf numFmtId="177" fontId="10" fillId="6" borderId="2" xfId="0" applyNumberFormat="1" applyFont="1" applyFill="1" applyBorder="1">
      <alignment vertical="center"/>
    </xf>
    <xf numFmtId="0" fontId="2" fillId="0" borderId="2" xfId="0" applyFont="1" applyBorder="1">
      <alignment vertical="center"/>
    </xf>
    <xf numFmtId="177" fontId="2" fillId="0" borderId="2" xfId="0" applyNumberFormat="1" applyFont="1" applyBorder="1">
      <alignment vertical="center"/>
    </xf>
    <xf numFmtId="176" fontId="1" fillId="0" borderId="17" xfId="0" applyNumberFormat="1" applyFont="1" applyBorder="1">
      <alignment vertical="center"/>
    </xf>
    <xf numFmtId="176" fontId="1" fillId="0" borderId="13" xfId="0" applyNumberFormat="1" applyFont="1" applyBorder="1">
      <alignment vertical="center"/>
    </xf>
    <xf numFmtId="176" fontId="1" fillId="0" borderId="9" xfId="0" applyNumberFormat="1" applyFont="1" applyBorder="1">
      <alignment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1" fillId="0" borderId="15" xfId="0" applyNumberFormat="1" applyFont="1" applyBorder="1">
      <alignment vertical="center"/>
    </xf>
    <xf numFmtId="176" fontId="1" fillId="0" borderId="19" xfId="0" applyNumberFormat="1" applyFont="1" applyBorder="1">
      <alignment vertical="center"/>
    </xf>
    <xf numFmtId="176" fontId="1" fillId="0" borderId="7" xfId="0" applyNumberFormat="1" applyFont="1" applyBorder="1">
      <alignment vertical="center"/>
    </xf>
    <xf numFmtId="176" fontId="11" fillId="0" borderId="17" xfId="0" applyNumberFormat="1" applyFont="1" applyBorder="1">
      <alignment vertical="center"/>
    </xf>
    <xf numFmtId="176" fontId="11" fillId="0" borderId="13" xfId="0" applyNumberFormat="1" applyFont="1" applyBorder="1">
      <alignment vertical="center"/>
    </xf>
    <xf numFmtId="176" fontId="11" fillId="0" borderId="9" xfId="0" applyNumberFormat="1" applyFont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9" xfId="0" applyNumberFormat="1" applyFont="1" applyFill="1" applyBorder="1">
      <alignment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zoomScaleNormal="75" workbookViewId="0">
      <selection activeCell="F10" sqref="F10"/>
    </sheetView>
  </sheetViews>
  <sheetFormatPr baseColWidth="10" defaultColWidth="8.83203125" defaultRowHeight="16"/>
  <cols>
    <col min="1" max="1" width="18.33203125" customWidth="1"/>
    <col min="2" max="2" width="12.1640625" bestFit="1" customWidth="1"/>
    <col min="3" max="3" width="13.83203125" bestFit="1" customWidth="1"/>
    <col min="4" max="4" width="12.83203125" customWidth="1"/>
    <col min="5" max="5" width="18" customWidth="1"/>
    <col min="6" max="6" width="14.1640625" customWidth="1"/>
    <col min="7" max="7" width="12.33203125" customWidth="1"/>
    <col min="8" max="8" width="15.1640625" customWidth="1"/>
    <col min="9" max="9" width="12.5" customWidth="1"/>
    <col min="10" max="10" width="12.83203125" customWidth="1"/>
    <col min="11" max="11" width="16.6640625" customWidth="1"/>
    <col min="12" max="13" width="8.6640625" customWidth="1"/>
    <col min="14" max="14" width="22.5" customWidth="1"/>
    <col min="15" max="15" width="11.83203125" customWidth="1"/>
    <col min="16" max="16" width="13.33203125" customWidth="1"/>
    <col min="19" max="19" width="12.1640625" customWidth="1"/>
    <col min="20" max="20" width="15.6640625" bestFit="1" customWidth="1"/>
  </cols>
  <sheetData>
    <row r="1" spans="1:10">
      <c r="A1" s="1" t="s">
        <v>0</v>
      </c>
      <c r="B1" s="1">
        <v>177</v>
      </c>
      <c r="I1" s="2"/>
    </row>
    <row r="2" spans="1:10">
      <c r="A2" s="1" t="s">
        <v>1</v>
      </c>
      <c r="B2" s="1">
        <v>5</v>
      </c>
    </row>
    <row r="3" spans="1:10">
      <c r="A3" s="3" t="s">
        <v>2</v>
      </c>
      <c r="B3" s="3">
        <v>5</v>
      </c>
      <c r="C3" s="2"/>
    </row>
    <row r="4" spans="1:10">
      <c r="A4" s="3" t="s">
        <v>3</v>
      </c>
      <c r="B4" s="3">
        <v>97</v>
      </c>
    </row>
    <row r="5" spans="1:10">
      <c r="A5" s="1" t="s">
        <v>4</v>
      </c>
      <c r="B5" s="1">
        <v>17</v>
      </c>
    </row>
    <row r="6" spans="1:10">
      <c r="A6" s="1" t="s">
        <v>5</v>
      </c>
      <c r="B6" s="1">
        <v>25</v>
      </c>
    </row>
    <row r="7" spans="1:10">
      <c r="A7" s="1" t="s">
        <v>6</v>
      </c>
      <c r="B7" s="1">
        <v>40</v>
      </c>
      <c r="C7" s="2"/>
      <c r="E7" s="2" t="s">
        <v>7</v>
      </c>
      <c r="F7" s="2">
        <f>IF(B8&gt;1,B6+(((B4-1)/4+1)/B3-1)*B2-B2,B6+(((B4-1)/4+1)/B3-1)*B2)</f>
        <v>45</v>
      </c>
      <c r="I7" s="2" t="s">
        <v>8</v>
      </c>
      <c r="J7" s="2">
        <v>1</v>
      </c>
    </row>
    <row r="8" spans="1:10">
      <c r="A8" s="1" t="s">
        <v>9</v>
      </c>
      <c r="B8" s="1">
        <v>1</v>
      </c>
      <c r="C8" s="2"/>
      <c r="E8" s="2" t="s">
        <v>10</v>
      </c>
      <c r="F8" s="2">
        <f>1+FLOOR((B29-B31-1)/(B31-B30),1)+1</f>
        <v>2</v>
      </c>
      <c r="I8" s="2" t="s">
        <v>11</v>
      </c>
      <c r="J8" s="2">
        <v>2</v>
      </c>
    </row>
    <row r="9" spans="1:10">
      <c r="A9" s="2" t="s">
        <v>12</v>
      </c>
      <c r="B9" s="2">
        <v>20</v>
      </c>
      <c r="E9" s="2" t="s">
        <v>13</v>
      </c>
      <c r="F9" s="2">
        <f>B6+(((B4-1)/4+1)/B3-1)*B2+(F8-1)*(B6+(((B4-1)/4+1)/B3-1)*B2-B2)</f>
        <v>85</v>
      </c>
      <c r="I9" s="2" t="s">
        <v>14</v>
      </c>
      <c r="J9" s="2">
        <v>3</v>
      </c>
    </row>
    <row r="10" spans="1:10">
      <c r="A10" s="2" t="s">
        <v>15</v>
      </c>
      <c r="B10" s="2">
        <v>6</v>
      </c>
      <c r="I10" s="2" t="s">
        <v>16</v>
      </c>
      <c r="J10" s="2">
        <v>4</v>
      </c>
    </row>
    <row r="11" spans="1:10">
      <c r="A11" s="2" t="s">
        <v>17</v>
      </c>
      <c r="B11" s="2">
        <v>8</v>
      </c>
      <c r="E11" s="2" t="s">
        <v>18</v>
      </c>
      <c r="F11" s="2">
        <v>5</v>
      </c>
      <c r="I11" s="2" t="s">
        <v>19</v>
      </c>
      <c r="J11" s="2">
        <v>5</v>
      </c>
    </row>
    <row r="12" spans="1:10">
      <c r="A12" s="2" t="s">
        <v>20</v>
      </c>
      <c r="B12" s="2">
        <v>24</v>
      </c>
      <c r="E12" s="2" t="s">
        <v>21</v>
      </c>
      <c r="F12" s="2">
        <f>B6</f>
        <v>25</v>
      </c>
    </row>
    <row r="13" spans="1:10">
      <c r="A13" s="1" t="s">
        <v>22</v>
      </c>
      <c r="B13" s="1">
        <v>544</v>
      </c>
    </row>
    <row r="14" spans="1:10">
      <c r="A14" s="1" t="s">
        <v>24</v>
      </c>
      <c r="B14" s="1">
        <v>960</v>
      </c>
    </row>
    <row r="15" spans="1:10">
      <c r="A15" s="1" t="s">
        <v>25</v>
      </c>
      <c r="B15" s="1">
        <v>16</v>
      </c>
    </row>
    <row r="16" spans="1:10">
      <c r="A16" s="1" t="s">
        <v>26</v>
      </c>
      <c r="B16" s="1">
        <v>64</v>
      </c>
    </row>
    <row r="17" spans="1:10">
      <c r="A17" s="1" t="s">
        <v>27</v>
      </c>
      <c r="B17" s="1">
        <v>1536</v>
      </c>
    </row>
    <row r="18" spans="1:10">
      <c r="A18" s="1" t="s">
        <v>28</v>
      </c>
      <c r="B18" s="1">
        <v>8960</v>
      </c>
    </row>
    <row r="19" spans="1:10">
      <c r="A19" s="1" t="s">
        <v>29</v>
      </c>
      <c r="B19" s="1">
        <v>256</v>
      </c>
    </row>
    <row r="20" spans="1:10">
      <c r="A20" s="1" t="s">
        <v>30</v>
      </c>
      <c r="B20" s="1">
        <v>12</v>
      </c>
    </row>
    <row r="21" spans="1:10">
      <c r="A21" s="1" t="s">
        <v>31</v>
      </c>
      <c r="B21" s="1">
        <v>128</v>
      </c>
    </row>
    <row r="22" spans="1:10">
      <c r="A22" s="1" t="s">
        <v>32</v>
      </c>
      <c r="B22" s="1">
        <v>512</v>
      </c>
    </row>
    <row r="23" spans="1:10">
      <c r="A23" s="1" t="s">
        <v>33</v>
      </c>
      <c r="B23" s="1">
        <v>4096</v>
      </c>
    </row>
    <row r="24" spans="1:10">
      <c r="A24" s="1" t="s">
        <v>34</v>
      </c>
      <c r="B24" s="1">
        <v>30</v>
      </c>
    </row>
    <row r="25" spans="1:10">
      <c r="A25" s="3" t="s">
        <v>35</v>
      </c>
      <c r="B25" s="4" t="s">
        <v>36</v>
      </c>
    </row>
    <row r="27" spans="1:10">
      <c r="A27" s="2" t="s">
        <v>37</v>
      </c>
      <c r="B27" s="2">
        <f>B13/8</f>
        <v>68</v>
      </c>
      <c r="E27" s="2" t="s">
        <v>38</v>
      </c>
      <c r="F27" s="2" t="b">
        <f>B8&gt;1</f>
        <v>0</v>
      </c>
    </row>
    <row r="28" spans="1:10">
      <c r="A28" s="2" t="s">
        <v>39</v>
      </c>
      <c r="B28" s="2">
        <f>B14/8</f>
        <v>120</v>
      </c>
      <c r="E28" s="2" t="s">
        <v>40</v>
      </c>
      <c r="F28" s="2" t="b">
        <f>IF(AND(B8&gt;1,J7=1),FALSE,AND(B7&gt;=(J7-1)*B2+1,B7&lt;=(J7-1)*B2+B6))</f>
        <v>0</v>
      </c>
      <c r="G28" s="2" t="b">
        <f>IF(AND(B8&gt;1,J8=1),FALSE,AND(B7&gt;=(J8-1)*B2+1,B7&lt;=(J8-1)*B2+B6))</f>
        <v>0</v>
      </c>
      <c r="H28" s="2" t="b">
        <f>IF(AND(B8&gt;1,J9=1),FALSE,AND(B7&gt;=(J9-1)*B2+1,B7&lt;=(J9-1)*B2+B6))</f>
        <v>0</v>
      </c>
      <c r="I28" s="2" t="b">
        <f>IF(AND(B8&gt;1,J10=1),FALSE,AND(B7&gt;=(J10-1)*B2+1,B7&lt;=(J10-1)*B2+B6))</f>
        <v>1</v>
      </c>
      <c r="J28" s="2" t="b">
        <f>IF(AND(B8&gt;1,J11=1),FALSE,AND(B7&gt;=(J11-1)*B2+1,B7&lt;=(J11-1)*B2+B6))</f>
        <v>1</v>
      </c>
    </row>
    <row r="29" spans="1:10">
      <c r="A29" s="2" t="s">
        <v>41</v>
      </c>
      <c r="B29" s="2">
        <f>(B1-1)/4+1</f>
        <v>45</v>
      </c>
      <c r="E29" s="2" t="s">
        <v>42</v>
      </c>
      <c r="F29" s="2" t="b">
        <f>IF(AND(B8&gt;1,J7=1),TRUE,B7&gt;=(J7-1)*B2+1)</f>
        <v>1</v>
      </c>
      <c r="G29" s="2" t="b">
        <f>IF(AND(B8&gt;1,J8=1),TRUE,B7&gt;=(J8-1)*B2+1)</f>
        <v>1</v>
      </c>
      <c r="H29" s="2" t="b">
        <f>IF(AND(B8&gt;1,J9=1),TRUE,B7&gt;=(J9-1)*B2+1)</f>
        <v>1</v>
      </c>
      <c r="I29" s="2" t="b">
        <f>IF(AND(B8&gt;1,J10=1),TRUE,B7&gt;=(J10-1)*B2+1)</f>
        <v>1</v>
      </c>
      <c r="J29" s="2" t="b">
        <f>IF(AND(B8&gt;1,J11=1),TRUE,B7&gt;=(J11-1)*B2+1)</f>
        <v>1</v>
      </c>
    </row>
    <row r="30" spans="1:10">
      <c r="A30" s="2" t="s">
        <v>43</v>
      </c>
      <c r="B30" s="2">
        <f>(B5-1)/4+1</f>
        <v>5</v>
      </c>
    </row>
    <row r="31" spans="1:10">
      <c r="A31" s="2" t="s">
        <v>3</v>
      </c>
      <c r="B31" s="2">
        <f>(B4-1)/4+1</f>
        <v>25</v>
      </c>
    </row>
    <row r="32" spans="1:10">
      <c r="A32" s="2" t="s">
        <v>44</v>
      </c>
      <c r="B32" s="2">
        <f>B3</f>
        <v>5</v>
      </c>
    </row>
    <row r="33" spans="1:16">
      <c r="A33" s="2" t="s">
        <v>23</v>
      </c>
      <c r="B33" s="2">
        <f>B31/B32</f>
        <v>5</v>
      </c>
    </row>
    <row r="34" spans="1:16">
      <c r="A34" s="2" t="s">
        <v>45</v>
      </c>
      <c r="B34" s="2">
        <f>(B27/2)*(B28/2)</f>
        <v>2040</v>
      </c>
      <c r="C34" s="2"/>
    </row>
    <row r="35" spans="1:16">
      <c r="A35" s="3" t="s">
        <v>46</v>
      </c>
      <c r="B35" s="3">
        <f>B34*B32</f>
        <v>10200</v>
      </c>
    </row>
    <row r="36" spans="1:16">
      <c r="A36" s="2" t="s">
        <v>47</v>
      </c>
      <c r="B36" s="2">
        <f>B35*B33</f>
        <v>51000</v>
      </c>
    </row>
    <row r="40" spans="1:16">
      <c r="A40" s="5"/>
      <c r="B40" s="6" t="s">
        <v>48</v>
      </c>
      <c r="C40" s="6" t="s">
        <v>49</v>
      </c>
      <c r="D40" s="6" t="s">
        <v>50</v>
      </c>
      <c r="E40" s="6" t="s">
        <v>51</v>
      </c>
      <c r="F40" s="6" t="s">
        <v>52</v>
      </c>
      <c r="G40" s="6" t="s">
        <v>53</v>
      </c>
      <c r="H40" s="6" t="s">
        <v>54</v>
      </c>
      <c r="I40" s="6" t="s">
        <v>55</v>
      </c>
      <c r="J40" s="6" t="s">
        <v>56</v>
      </c>
      <c r="K40" s="6" t="s">
        <v>57</v>
      </c>
      <c r="L40" s="7"/>
      <c r="M40" s="7"/>
      <c r="N40" s="7"/>
      <c r="O40" s="7"/>
    </row>
    <row r="41" spans="1:16">
      <c r="A41" s="6" t="s">
        <v>58</v>
      </c>
      <c r="B41" s="8">
        <f>O72</f>
        <v>2.6720266342163086</v>
      </c>
      <c r="C41" s="8">
        <f>P72</f>
        <v>420.82988002099216</v>
      </c>
      <c r="D41" s="8">
        <f>E74*B24</f>
        <v>2.5932884216308594</v>
      </c>
      <c r="E41" s="5">
        <f>(D41/B41)*100</f>
        <v>97.053239979827424</v>
      </c>
      <c r="F41" s="8">
        <f>O62+O50</f>
        <v>7.8738212585449219E-2</v>
      </c>
      <c r="G41" s="5">
        <f>(F41/B41)*100</f>
        <v>2.9467600201725808</v>
      </c>
      <c r="H41" s="5">
        <f>(K54+K55+K65+K66)*B24</f>
        <v>292.46275584</v>
      </c>
      <c r="I41" s="5">
        <f>(H41/C41)*100</f>
        <v>69.496670679708188</v>
      </c>
      <c r="J41" s="5">
        <f>B24*(K50+K51+K52+K53+K61+K62+K63+K64+K71+K72)+P49+P58+P59+P60+P61</f>
        <v>128.28808131379202</v>
      </c>
      <c r="K41" s="5">
        <f>(J41/C41)*100</f>
        <v>30.484546702670599</v>
      </c>
      <c r="L41" s="7"/>
      <c r="M41" s="7"/>
      <c r="N41" s="7"/>
      <c r="O41" s="7"/>
    </row>
    <row r="42" spans="1:16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6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6">
      <c r="A44" s="7"/>
    </row>
    <row r="45" spans="1:16">
      <c r="A45" s="10"/>
      <c r="B45" s="63" t="s">
        <v>99</v>
      </c>
      <c r="C45" s="64"/>
      <c r="D45" s="64"/>
      <c r="E45" s="64"/>
      <c r="F45" s="64"/>
      <c r="G45" s="64"/>
      <c r="H45" s="64"/>
      <c r="I45" s="64"/>
      <c r="J45" s="64"/>
      <c r="K45" s="64"/>
      <c r="L45" s="11"/>
      <c r="M45" s="11"/>
      <c r="N45" s="11"/>
      <c r="O45" s="11"/>
      <c r="P45" s="12"/>
    </row>
    <row r="46" spans="1:16">
      <c r="A46" s="7"/>
      <c r="B46" s="13"/>
      <c r="C46" s="14"/>
      <c r="D46" s="15"/>
      <c r="E46" s="15"/>
      <c r="F46" s="16" t="s">
        <v>8</v>
      </c>
      <c r="G46" s="16" t="s">
        <v>11</v>
      </c>
      <c r="H46" s="16" t="s">
        <v>14</v>
      </c>
      <c r="I46" s="16" t="s">
        <v>16</v>
      </c>
      <c r="J46" s="16" t="s">
        <v>19</v>
      </c>
      <c r="P46" s="17"/>
    </row>
    <row r="47" spans="1:16">
      <c r="A47" s="7"/>
      <c r="B47" s="18"/>
      <c r="C47" s="19"/>
      <c r="D47" s="20"/>
      <c r="E47" s="21" t="s">
        <v>59</v>
      </c>
      <c r="F47" s="21" t="s">
        <v>49</v>
      </c>
      <c r="G47" s="21" t="s">
        <v>49</v>
      </c>
      <c r="H47" s="21" t="s">
        <v>49</v>
      </c>
      <c r="I47" s="21" t="s">
        <v>49</v>
      </c>
      <c r="J47" s="21" t="s">
        <v>49</v>
      </c>
      <c r="K47" s="22" t="s">
        <v>60</v>
      </c>
      <c r="O47" s="21" t="s">
        <v>59</v>
      </c>
      <c r="P47" s="23" t="s">
        <v>49</v>
      </c>
    </row>
    <row r="48" spans="1:16">
      <c r="A48" s="7"/>
      <c r="B48" s="65" t="s">
        <v>61</v>
      </c>
      <c r="C48" s="24"/>
      <c r="D48" s="25" t="s">
        <v>62</v>
      </c>
      <c r="E48" s="26">
        <f>0</f>
        <v>0</v>
      </c>
      <c r="F48" s="26">
        <f>IF(F29=FALSE,0,5*B17*B35/Base!B2)</f>
        <v>7.8336000000000004E-5</v>
      </c>
      <c r="G48" s="26">
        <f>IF(G29=FALSE,0,5*B17*B35/Base!B2)</f>
        <v>7.8336000000000004E-5</v>
      </c>
      <c r="H48" s="26">
        <f>IF(H29=FALSE,0,5*B17*B35/Base!B2)</f>
        <v>7.8336000000000004E-5</v>
      </c>
      <c r="I48" s="26">
        <f>IF(I29=FALSE,0,5*B17*B35/Base!B2)</f>
        <v>7.8336000000000004E-5</v>
      </c>
      <c r="J48" s="26">
        <f>IF(J29=FALSE,0,5*B17*B35/Base!B2)</f>
        <v>7.8336000000000004E-5</v>
      </c>
      <c r="K48" s="27">
        <f>SUM(F48:J48)</f>
        <v>3.9168000000000004E-4</v>
      </c>
      <c r="M48" s="60" t="s">
        <v>63</v>
      </c>
      <c r="N48" s="29" t="s">
        <v>64</v>
      </c>
      <c r="O48" s="29">
        <f>0</f>
        <v>0</v>
      </c>
      <c r="P48" s="30">
        <f>5*B17*B36/Base!B2</f>
        <v>3.9167999999999999E-4</v>
      </c>
    </row>
    <row r="49" spans="1:16">
      <c r="A49" s="7"/>
      <c r="B49" s="66"/>
      <c r="C49" s="24"/>
      <c r="D49" s="24"/>
      <c r="E49" s="29"/>
      <c r="F49" s="29"/>
      <c r="G49" s="29"/>
      <c r="H49" s="29"/>
      <c r="I49" s="29"/>
      <c r="J49" s="29"/>
      <c r="M49" s="61"/>
      <c r="N49" s="29" t="s">
        <v>65</v>
      </c>
      <c r="O49" s="29">
        <f>(B17*B16*2)/Base!B1</f>
        <v>1.8310546875E-4</v>
      </c>
      <c r="P49" s="30">
        <f>2*B36*B17*B16/Base!B2</f>
        <v>1.0027008E-2</v>
      </c>
    </row>
    <row r="50" spans="1:16">
      <c r="A50" s="7"/>
      <c r="B50" s="66"/>
      <c r="C50" s="73" t="s">
        <v>66</v>
      </c>
      <c r="D50" s="29" t="s">
        <v>67</v>
      </c>
      <c r="E50" s="26">
        <f>2*B17*B17/Base!B1</f>
        <v>4.39453125E-3</v>
      </c>
      <c r="F50" s="26">
        <f>IF(F29=FALSE,0,B35*B17*B17*2/Base!B2)</f>
        <v>4.8129638400000001E-2</v>
      </c>
      <c r="G50" s="26">
        <f>IF(G29=FALSE,0,B35*B17*B17*2/Base!B2)</f>
        <v>4.8129638400000001E-2</v>
      </c>
      <c r="H50" s="26">
        <f>IF(H29=FALSE,0,B35*B17*B17*2/Base!B2)</f>
        <v>4.8129638400000001E-2</v>
      </c>
      <c r="I50" s="26">
        <f>IF(I29=FALSE,0,B35*B17*B17*2/Base!B2)</f>
        <v>4.8129638400000001E-2</v>
      </c>
      <c r="J50" s="26">
        <f>IF(J29=FALSE,0,B35*B17*B17*2/Base!B2)</f>
        <v>4.8129638400000001E-2</v>
      </c>
      <c r="K50" s="27">
        <f t="shared" ref="K50:K57" si="0">SUM(F50:J50)</f>
        <v>0.24064819200000001</v>
      </c>
      <c r="M50" s="62"/>
      <c r="N50" s="29" t="s">
        <v>68</v>
      </c>
      <c r="O50" s="21">
        <f>SUM(O48:O49)</f>
        <v>1.8310546875E-4</v>
      </c>
      <c r="P50" s="31">
        <f>SUM(P48:P49)</f>
        <v>1.0418688000000001E-2</v>
      </c>
    </row>
    <row r="51" spans="1:16">
      <c r="A51" s="7"/>
      <c r="B51" s="66"/>
      <c r="C51" s="74"/>
      <c r="D51" s="29" t="s">
        <v>69</v>
      </c>
      <c r="E51" s="26">
        <f>2*B17*B17/Base!B1</f>
        <v>4.39453125E-3</v>
      </c>
      <c r="F51" s="26">
        <f>IF(F29=FALSE,0,B35*B17*B17*2/Base!B2)</f>
        <v>4.8129638400000001E-2</v>
      </c>
      <c r="G51" s="26">
        <f>IF(G29=FALSE,0,B35*B17*B17*2/Base!B2)</f>
        <v>4.8129638400000001E-2</v>
      </c>
      <c r="H51" s="26">
        <f>IF(H29=FALSE,0,B35*B17*B17*2/Base!B2)</f>
        <v>4.8129638400000001E-2</v>
      </c>
      <c r="I51" s="26">
        <f>IF(I29=FALSE,0,B35*B17*B17*2/Base!B2)</f>
        <v>4.8129638400000001E-2</v>
      </c>
      <c r="J51" s="26">
        <f>IF(J29=FALSE,0,B35*B17*B17*2/Base!B2)</f>
        <v>4.8129638400000001E-2</v>
      </c>
      <c r="K51" s="27">
        <f t="shared" si="0"/>
        <v>0.24064819200000001</v>
      </c>
      <c r="M51" s="29"/>
      <c r="N51" s="29"/>
      <c r="O51" s="29"/>
      <c r="P51" s="30"/>
    </row>
    <row r="52" spans="1:16">
      <c r="A52" s="7"/>
      <c r="B52" s="66"/>
      <c r="C52" s="74"/>
      <c r="D52" s="29" t="s">
        <v>70</v>
      </c>
      <c r="E52" s="26">
        <f>2*B17*B17/Base!B1</f>
        <v>4.39453125E-3</v>
      </c>
      <c r="F52" s="26">
        <f>IF(F29=FALSE,0,B35*B17*B17*2/Base!B2)</f>
        <v>4.8129638400000001E-2</v>
      </c>
      <c r="G52" s="26">
        <f>IF(G29=FALSE,0,B35*B17*B17*2/Base!B2)</f>
        <v>4.8129638400000001E-2</v>
      </c>
      <c r="H52" s="26">
        <f>IF(H29=FALSE,0,B35*B17*B17*2/Base!B2)</f>
        <v>4.8129638400000001E-2</v>
      </c>
      <c r="I52" s="26">
        <f>IF(I29=FALSE,0,B35*B17*B17*2/Base!B2)</f>
        <v>4.8129638400000001E-2</v>
      </c>
      <c r="J52" s="26">
        <f>IF(J29=FALSE,0,B35*B17*B17*2/Base!B2)</f>
        <v>4.8129638400000001E-2</v>
      </c>
      <c r="K52" s="27">
        <f t="shared" si="0"/>
        <v>0.24064819200000001</v>
      </c>
      <c r="M52" s="29"/>
      <c r="N52" s="29"/>
      <c r="O52" s="29"/>
      <c r="P52" s="30"/>
    </row>
    <row r="53" spans="1:16">
      <c r="A53" s="7"/>
      <c r="B53" s="66"/>
      <c r="C53" s="74"/>
      <c r="D53" s="29" t="s">
        <v>71</v>
      </c>
      <c r="E53" s="26">
        <f>2*B17*B17/Base!B1</f>
        <v>4.39453125E-3</v>
      </c>
      <c r="F53" s="26">
        <f>IF(F29=FALSE,0,B35*B17*B17*2/Base!B2)</f>
        <v>4.8129638400000001E-2</v>
      </c>
      <c r="G53" s="26">
        <f>IF(G29=FALSE,0,B35*B17*B17*2/Base!B2)</f>
        <v>4.8129638400000001E-2</v>
      </c>
      <c r="H53" s="26">
        <f>IF(H29=FALSE,0,B35*B17*B17*2/Base!B2)</f>
        <v>4.8129638400000001E-2</v>
      </c>
      <c r="I53" s="26">
        <f>IF(I29=FALSE,0,B35*B17*B17*2/Base!B2)</f>
        <v>4.8129638400000001E-2</v>
      </c>
      <c r="J53" s="26">
        <f>IF(J29=FALSE,0,B35*B17*B17*2/Base!B2)</f>
        <v>4.8129638400000001E-2</v>
      </c>
      <c r="K53" s="27">
        <f t="shared" si="0"/>
        <v>0.24064819200000001</v>
      </c>
      <c r="M53" s="29"/>
      <c r="N53" s="29"/>
      <c r="O53" s="29"/>
      <c r="P53" s="30"/>
    </row>
    <row r="54" spans="1:16">
      <c r="A54" s="7"/>
      <c r="B54" s="66"/>
      <c r="C54" s="74"/>
      <c r="D54" s="32" t="s">
        <v>72</v>
      </c>
      <c r="E54" s="26"/>
      <c r="F54" s="26">
        <f>IF(F29=FALSE,0,2*B35*B20*B21*(J7*B35)/Base!B2)</f>
        <v>0.31961087999999999</v>
      </c>
      <c r="G54" s="26">
        <f>IF(G29=FALSE,0,2*B35*B20*B21*(J8*B35)/Base!B2)</f>
        <v>0.63922175999999997</v>
      </c>
      <c r="H54" s="26">
        <f>IF(H29=FALSE,0,2*B35*B20*B21*(J9*B35)/Base!B2)</f>
        <v>0.95883264000000001</v>
      </c>
      <c r="I54" s="26">
        <f>IF(I29=FALSE,0,2*B35*B20*B21*(J10*B35)/Base!B2)</f>
        <v>1.2784435199999999</v>
      </c>
      <c r="J54" s="26">
        <f>IF(J29=FALSE,0,2*B35*B20*B21*(J11*B35)/Base!B2)</f>
        <v>1.5980544000000001</v>
      </c>
      <c r="K54" s="27">
        <f t="shared" si="0"/>
        <v>4.7941631999999998</v>
      </c>
      <c r="M54" s="29"/>
    </row>
    <row r="55" spans="1:16">
      <c r="A55" s="7"/>
      <c r="B55" s="66"/>
      <c r="C55" s="74"/>
      <c r="D55" s="14" t="s">
        <v>73</v>
      </c>
      <c r="E55" s="26"/>
      <c r="F55" s="26">
        <f>IF(F29=FALSE,0,2*B35*B20*B21*(J7*B35)/Base!B2)</f>
        <v>0.31961087999999999</v>
      </c>
      <c r="G55" s="26">
        <f>IF(G29=FALSE,0,2*B35*B20*B21*(J8*B35)/Base!B2)</f>
        <v>0.63922175999999997</v>
      </c>
      <c r="H55" s="26">
        <f>IF(H29=FALSE,0,2*B35*B20*B21*(J9*B35)/Base!B2)</f>
        <v>0.95883264000000001</v>
      </c>
      <c r="I55" s="26">
        <f>IF(I29=FALSE,0,2*B35*B20*B21*(J10*B35)/Base!B2)</f>
        <v>1.2784435199999999</v>
      </c>
      <c r="J55" s="26">
        <f>IF(J29=FALSE,0,2*B35*B20*B21*(J11*B35)/Base!B2)</f>
        <v>1.5980544000000001</v>
      </c>
      <c r="K55" s="27">
        <f t="shared" si="0"/>
        <v>4.7941631999999998</v>
      </c>
      <c r="M55" s="29"/>
    </row>
    <row r="56" spans="1:16">
      <c r="A56" s="7"/>
      <c r="B56" s="66"/>
      <c r="C56" s="74"/>
      <c r="D56" s="19" t="s">
        <v>74</v>
      </c>
      <c r="E56" s="26">
        <f>2*B17/Base!B1</f>
        <v>2.86102294921875E-6</v>
      </c>
      <c r="F56" s="26">
        <f>IF(F29=FALSE,0,4*B35*B17/Base!B2)</f>
        <v>6.2668800000000006E-5</v>
      </c>
      <c r="G56" s="26">
        <f>IF(G29=FALSE,0,4*B35*B17/Base!B2)</f>
        <v>6.2668800000000006E-5</v>
      </c>
      <c r="H56" s="26">
        <f>IF(H29=FALSE,0,4*B35*B17/Base!B2)</f>
        <v>6.2668800000000006E-5</v>
      </c>
      <c r="I56" s="26">
        <f>IF(I29=FALSE,0,4*B35*B17/Base!B2)</f>
        <v>6.2668800000000006E-5</v>
      </c>
      <c r="J56" s="26">
        <f>IF(J29=FALSE,0,4*B35*B17/Base!B2)</f>
        <v>6.2668800000000006E-5</v>
      </c>
      <c r="K56" s="27">
        <f t="shared" si="0"/>
        <v>3.1334400000000001E-4</v>
      </c>
      <c r="M56" s="33"/>
      <c r="N56" s="29"/>
      <c r="O56" s="21" t="s">
        <v>59</v>
      </c>
      <c r="P56" s="31" t="s">
        <v>49</v>
      </c>
    </row>
    <row r="57" spans="1:16">
      <c r="A57" s="7"/>
      <c r="B57" s="66"/>
      <c r="C57" s="74"/>
      <c r="D57" s="19" t="s">
        <v>75</v>
      </c>
      <c r="E57" s="26">
        <f>2*B17/Base!B1</f>
        <v>2.86102294921875E-6</v>
      </c>
      <c r="F57" s="26">
        <f>IF(F29=FALSE,0,4*B35*B17/Base!B2)</f>
        <v>6.2668800000000006E-5</v>
      </c>
      <c r="G57" s="26">
        <f>IF(G29=FALSE,0,4*B35*B17/Base!B2)</f>
        <v>6.2668800000000006E-5</v>
      </c>
      <c r="H57" s="26">
        <f>IF(H29=FALSE,0,4*B35*B17/Base!B2)</f>
        <v>6.2668800000000006E-5</v>
      </c>
      <c r="I57" s="26">
        <f>IF(I29=FALSE,0,4*B35*B17/Base!B2)</f>
        <v>6.2668800000000006E-5</v>
      </c>
      <c r="J57" s="26">
        <f>IF(J29=FALSE,0,4*B35*B17/Base!B2)</f>
        <v>6.2668800000000006E-5</v>
      </c>
      <c r="K57" s="27">
        <f t="shared" si="0"/>
        <v>3.1334400000000001E-4</v>
      </c>
      <c r="M57" s="73" t="s">
        <v>76</v>
      </c>
      <c r="N57" s="29" t="s">
        <v>77</v>
      </c>
      <c r="O57" s="34">
        <f>(B17*B15*1*2*2+B17)*2/Base!B1</f>
        <v>1.8596649169921875E-4</v>
      </c>
      <c r="P57" s="35">
        <f>B17*B31*(B27/2)*(B28/2)*(1*2*2*B15)*2/Base!B2</f>
        <v>1.0027008E-2</v>
      </c>
    </row>
    <row r="58" spans="1:16">
      <c r="A58" s="7"/>
      <c r="B58" s="66"/>
      <c r="C58" s="24"/>
      <c r="D58" s="24"/>
      <c r="E58" s="26"/>
      <c r="F58" s="26"/>
      <c r="G58" s="26"/>
      <c r="H58" s="26"/>
      <c r="I58" s="26"/>
      <c r="J58" s="26"/>
      <c r="K58" s="27"/>
      <c r="M58" s="74"/>
      <c r="N58" s="29" t="s">
        <v>78</v>
      </c>
      <c r="O58" s="29">
        <f>(B23*B17+B17*B17)*2/Base!B1</f>
        <v>1.611328125E-2</v>
      </c>
      <c r="P58" s="36">
        <f>2*(B22*B23*B17+B22*B17*B17)/Base!B2</f>
        <v>8.8583700480000006E-3</v>
      </c>
    </row>
    <row r="59" spans="1:16">
      <c r="A59" s="7"/>
      <c r="B59" s="66"/>
      <c r="C59" s="14"/>
      <c r="D59" s="29" t="s">
        <v>79</v>
      </c>
      <c r="E59" s="26">
        <f>2*2*B17/Base!B1</f>
        <v>5.7220458984375E-6</v>
      </c>
      <c r="F59" s="26">
        <f>IF(F29=FALSE,0,7*B17*B35/Base!B2)</f>
        <v>1.096704E-4</v>
      </c>
      <c r="G59" s="26">
        <f>IF(G29=FALSE,0,7*B17*B35/Base!B2)</f>
        <v>1.096704E-4</v>
      </c>
      <c r="H59" s="26">
        <f>IF(H29=FALSE,0,7*B17*B35/Base!B2)</f>
        <v>1.096704E-4</v>
      </c>
      <c r="I59" s="26">
        <f>IF(I29=FALSE,0,7*B17*B35/Base!B2)</f>
        <v>1.096704E-4</v>
      </c>
      <c r="J59" s="26">
        <f>IF(J29=FALSE,0,7*B17*B35/Base!B2)</f>
        <v>1.096704E-4</v>
      </c>
      <c r="K59" s="27">
        <f>SUM(F59:J59)</f>
        <v>5.48352E-4</v>
      </c>
      <c r="M59" s="74"/>
      <c r="N59" s="29" t="s">
        <v>80</v>
      </c>
      <c r="O59" s="29">
        <f>(B19*B17+B17*B17)*2/Base!B1</f>
        <v>5.126953125E-3</v>
      </c>
      <c r="P59" s="37">
        <f>(2*B31*B17*B19+2*B31*B17*B17)/Base!B2</f>
        <v>1.3762560000000001E-4</v>
      </c>
    </row>
    <row r="60" spans="1:16">
      <c r="A60" s="7"/>
      <c r="B60" s="66"/>
      <c r="C60" s="24"/>
      <c r="D60" s="24"/>
      <c r="E60" s="26"/>
      <c r="F60" s="26"/>
      <c r="G60" s="26"/>
      <c r="H60" s="26"/>
      <c r="I60" s="26"/>
      <c r="J60" s="26"/>
      <c r="K60" s="38"/>
      <c r="M60" s="74"/>
      <c r="N60" s="32" t="s">
        <v>81</v>
      </c>
      <c r="O60" s="32">
        <f>(B17*B17*6*2)/Base!B1</f>
        <v>2.63671875E-2</v>
      </c>
      <c r="P60" s="37">
        <f>(2*B31*B17*6*B17)/Base!B2</f>
        <v>7.0778880000000005E-4</v>
      </c>
    </row>
    <row r="61" spans="1:16">
      <c r="A61" s="7"/>
      <c r="B61" s="66"/>
      <c r="C61" s="75" t="s">
        <v>82</v>
      </c>
      <c r="D61" s="29" t="s">
        <v>83</v>
      </c>
      <c r="E61" s="26">
        <f>2*B17*B17/Base!B1</f>
        <v>4.39453125E-3</v>
      </c>
      <c r="F61" s="26">
        <f>IF(F29=FALSE,0,B35*B17*B17*2/Base!B2)</f>
        <v>4.8129638400000001E-2</v>
      </c>
      <c r="G61" s="26">
        <f>IF(G29=FALSE,0,B35*B17*B17*2/Base!B2)</f>
        <v>4.8129638400000001E-2</v>
      </c>
      <c r="H61" s="26">
        <f>IF(H29=FALSE,0,B35*B17*B17*2/Base!B2)</f>
        <v>4.8129638400000001E-2</v>
      </c>
      <c r="I61" s="26">
        <f>IF(I29=FALSE,0,B35*B17*B17*2/Base!B2)</f>
        <v>4.8129638400000001E-2</v>
      </c>
      <c r="J61" s="26">
        <f>IF(J29=FALSE,0,B35*B17*B17*2/Base!B2)</f>
        <v>4.8129638400000001E-2</v>
      </c>
      <c r="K61" s="27">
        <f t="shared" ref="K61:K68" si="1">SUM(F61:J61)</f>
        <v>0.24064819200000001</v>
      </c>
      <c r="M61" s="74"/>
      <c r="N61" s="29" t="s">
        <v>84</v>
      </c>
      <c r="O61" s="32">
        <f>(B17*B17+B17*B17*6)*2/Base!B1</f>
        <v>3.076171875E-2</v>
      </c>
      <c r="P61" s="37">
        <f>(2*B17*B17+2*B17*6*B17)/Base!B2</f>
        <v>3.3030144000000001E-5</v>
      </c>
    </row>
    <row r="62" spans="1:16">
      <c r="A62" s="7"/>
      <c r="B62" s="66"/>
      <c r="C62" s="76"/>
      <c r="D62" s="29" t="s">
        <v>85</v>
      </c>
      <c r="E62" s="26">
        <f>2*B17*B17/Base!B1</f>
        <v>4.39453125E-3</v>
      </c>
      <c r="F62" s="26">
        <f>IF(F29=FALSE,0,B22*B17*B17*2/Base!B2)</f>
        <v>2.4159191039999999E-3</v>
      </c>
      <c r="G62" s="26">
        <f>IF(G29=FALSE,0,B22*B17*B17*2/Base!B2)</f>
        <v>2.4159191039999999E-3</v>
      </c>
      <c r="H62" s="26">
        <f>IF(H29=FALSE,0,B22*B17*B17*2/Base!B2)</f>
        <v>2.4159191039999999E-3</v>
      </c>
      <c r="I62" s="26">
        <f>IF(I29=FALSE,0,B22*B17*B17*2/Base!B2)</f>
        <v>2.4159191039999999E-3</v>
      </c>
      <c r="J62" s="26">
        <f>IF(J29=FALSE,0,B22*B17*B17*2/Base!B2)</f>
        <v>2.4159191039999999E-3</v>
      </c>
      <c r="K62" s="27">
        <f t="shared" si="1"/>
        <v>1.207959552E-2</v>
      </c>
      <c r="M62" s="74"/>
      <c r="N62" s="29" t="s">
        <v>68</v>
      </c>
      <c r="O62" s="32">
        <f>SUM(O57:O61)</f>
        <v>7.8555107116699219E-2</v>
      </c>
      <c r="P62" s="30">
        <f>SUM(P57:P61)</f>
        <v>1.9763822592000001E-2</v>
      </c>
    </row>
    <row r="63" spans="1:16">
      <c r="A63" s="7"/>
      <c r="B63" s="66"/>
      <c r="C63" s="76"/>
      <c r="D63" s="29" t="s">
        <v>86</v>
      </c>
      <c r="E63" s="26">
        <f>2*B17*B17/Base!B1</f>
        <v>4.39453125E-3</v>
      </c>
      <c r="F63" s="26">
        <f>IF(F29=FALSE,0,B22*B17*B17*2/Base!B2)</f>
        <v>2.4159191039999999E-3</v>
      </c>
      <c r="G63" s="26">
        <f>IF(G29=FALSE,0,B22*B17*B17*2/Base!B2)</f>
        <v>2.4159191039999999E-3</v>
      </c>
      <c r="H63" s="26">
        <f>IF(H29=FALSE,0,B22*B17*B17*2/Base!B2)</f>
        <v>2.4159191039999999E-3</v>
      </c>
      <c r="I63" s="26">
        <f>IF(I29=FALSE,0,B22*B17*B17*2/Base!B2)</f>
        <v>2.4159191039999999E-3</v>
      </c>
      <c r="J63" s="26">
        <f>IF(J29=FALSE,0,B22*B17*B17*2/Base!B2)</f>
        <v>2.4159191039999999E-3</v>
      </c>
      <c r="K63" s="27">
        <f t="shared" si="1"/>
        <v>1.207959552E-2</v>
      </c>
      <c r="M63" s="24"/>
      <c r="N63" s="24"/>
      <c r="O63" s="24"/>
      <c r="P63" s="39"/>
    </row>
    <row r="64" spans="1:16">
      <c r="A64" s="7"/>
      <c r="B64" s="66"/>
      <c r="C64" s="76"/>
      <c r="D64" s="29" t="s">
        <v>87</v>
      </c>
      <c r="E64" s="26">
        <f>2*B17*B17/Base!B1</f>
        <v>4.39453125E-3</v>
      </c>
      <c r="F64" s="26">
        <f>IF(F29=FALSE,0,B35*B17*B17*2/Base!B2)</f>
        <v>4.8129638400000001E-2</v>
      </c>
      <c r="G64" s="26">
        <f>IF(G29=FALSE,0,B35*B17*B17*2/Base!B2)</f>
        <v>4.8129638400000001E-2</v>
      </c>
      <c r="H64" s="26">
        <f>IF(H29=FALSE,0,B35*B17*B17*2/Base!B2)</f>
        <v>4.8129638400000001E-2</v>
      </c>
      <c r="I64" s="26">
        <f>IF(I29=FALSE,0,B35*B17*B17*2/Base!B2)</f>
        <v>4.8129638400000001E-2</v>
      </c>
      <c r="J64" s="26">
        <f>IF(J29=FALSE,0,B35*B17*B17*2/Base!B2)</f>
        <v>4.8129638400000001E-2</v>
      </c>
      <c r="K64" s="27">
        <f t="shared" si="1"/>
        <v>0.24064819200000001</v>
      </c>
      <c r="M64" s="29"/>
      <c r="N64" s="24"/>
      <c r="O64" s="21"/>
      <c r="P64" s="31"/>
    </row>
    <row r="65" spans="1:16">
      <c r="A65" s="7"/>
      <c r="B65" s="66"/>
      <c r="C65" s="76"/>
      <c r="D65" s="32" t="s">
        <v>88</v>
      </c>
      <c r="E65" s="26"/>
      <c r="F65" s="26">
        <f>IF(F29=FALSE,0,2*B35*B20*B21*B22/Base!B2)</f>
        <v>1.6043212800000001E-2</v>
      </c>
      <c r="G65" s="26">
        <f>IF(G29=FALSE,0,2*B35*B20*B21*B22/Base!B2)</f>
        <v>1.6043212800000001E-2</v>
      </c>
      <c r="H65" s="26">
        <f>IF(H29=FALSE,0,2*B35*B20*B21*B22/Base!B2)</f>
        <v>1.6043212800000001E-2</v>
      </c>
      <c r="I65" s="26">
        <f>IF(I29=FALSE,0,2*B35*B20*B21*B22/Base!B2)</f>
        <v>1.6043212800000001E-2</v>
      </c>
      <c r="J65" s="26">
        <f>IF(J29=FALSE,0,2*B35*B20*B21*B22/Base!B2)</f>
        <v>1.6043212800000001E-2</v>
      </c>
      <c r="K65" s="27">
        <f t="shared" si="1"/>
        <v>8.0216064000000004E-2</v>
      </c>
      <c r="P65" s="40"/>
    </row>
    <row r="66" spans="1:16">
      <c r="A66" s="7"/>
      <c r="B66" s="66"/>
      <c r="C66" s="76"/>
      <c r="D66" s="14" t="s">
        <v>89</v>
      </c>
      <c r="E66" s="26"/>
      <c r="F66" s="26">
        <f>IF(F29=FALSE,0,2*B35*B20*B21*B22/Base!B2)</f>
        <v>1.6043212800000001E-2</v>
      </c>
      <c r="G66" s="26">
        <f>IF(G29=FALSE,0,2*B35*B20*B21*B22/Base!B2)</f>
        <v>1.6043212800000001E-2</v>
      </c>
      <c r="H66" s="26">
        <f>IF(H29=FALSE,0,2*B35*B20*B21*B22/Base!B2)</f>
        <v>1.6043212800000001E-2</v>
      </c>
      <c r="I66" s="26">
        <f>IF(I29=FALSE,0,2*B35*B20*B21*B22/Base!B2)</f>
        <v>1.6043212800000001E-2</v>
      </c>
      <c r="J66" s="26">
        <f>IF(J29=FALSE,0,2*B35*B20*B21*B22/Base!B2)</f>
        <v>1.6043212800000001E-2</v>
      </c>
      <c r="K66" s="27">
        <f t="shared" si="1"/>
        <v>8.0216064000000004E-2</v>
      </c>
      <c r="P66" s="17"/>
    </row>
    <row r="67" spans="1:16">
      <c r="A67" s="7"/>
      <c r="B67" s="66"/>
      <c r="C67" s="76"/>
      <c r="D67" s="19" t="s">
        <v>74</v>
      </c>
      <c r="E67" s="26">
        <f>2*B17/Base!B1</f>
        <v>2.86102294921875E-6</v>
      </c>
      <c r="F67" s="26">
        <f>IF(F29=FALSE,0,4*B35*B17/Base!B2)</f>
        <v>6.2668800000000006E-5</v>
      </c>
      <c r="G67" s="26">
        <f>IF(G29=FALSE,0,4*B35*B17/Base!B2)</f>
        <v>6.2668800000000006E-5</v>
      </c>
      <c r="H67" s="26">
        <f>IF(H29=FALSE,0,4*B35*B17/Base!B2)</f>
        <v>6.2668800000000006E-5</v>
      </c>
      <c r="I67" s="26">
        <f>IF(I29=FALSE,0,4*B35*B17/Base!B2)</f>
        <v>6.2668800000000006E-5</v>
      </c>
      <c r="J67" s="26">
        <f>IF(J29=FALSE,0,4*B35*B17/Base!B2)</f>
        <v>6.2668800000000006E-5</v>
      </c>
      <c r="K67" s="27">
        <f t="shared" si="1"/>
        <v>3.1334400000000001E-4</v>
      </c>
      <c r="P67" s="17"/>
    </row>
    <row r="68" spans="1:16">
      <c r="A68" s="7"/>
      <c r="B68" s="66"/>
      <c r="C68" s="76"/>
      <c r="D68" s="19" t="s">
        <v>75</v>
      </c>
      <c r="E68" s="26">
        <f>2*B17/Base!B1</f>
        <v>2.86102294921875E-6</v>
      </c>
      <c r="F68" s="26">
        <f>IF(F29=FALSE,0,4*B22*B17/Base!B2)</f>
        <v>3.1457280000000001E-6</v>
      </c>
      <c r="G68" s="26">
        <f>IF(G29=FALSE,0,4*B22*B17/Base!B2)</f>
        <v>3.1457280000000001E-6</v>
      </c>
      <c r="H68" s="26">
        <f>IF(H29=FALSE,0,4*B22*B17/Base!B2)</f>
        <v>3.1457280000000001E-6</v>
      </c>
      <c r="I68" s="26">
        <f>IF(I29=FALSE,0,4*B22*B17/Base!B2)</f>
        <v>3.1457280000000001E-6</v>
      </c>
      <c r="J68" s="26">
        <f>IF(J29=FALSE,0,4*B22*B17/Base!B2)</f>
        <v>3.1457280000000001E-6</v>
      </c>
      <c r="K68" s="27">
        <f t="shared" si="1"/>
        <v>1.572864E-5</v>
      </c>
      <c r="P68" s="17"/>
    </row>
    <row r="69" spans="1:16">
      <c r="A69" s="7"/>
      <c r="B69" s="66"/>
      <c r="C69" s="41"/>
      <c r="D69" s="24"/>
      <c r="E69" s="26"/>
      <c r="F69" s="26"/>
      <c r="G69" s="26"/>
      <c r="H69" s="26"/>
      <c r="I69" s="26"/>
      <c r="J69" s="26"/>
      <c r="K69" s="27"/>
      <c r="P69" s="17"/>
    </row>
    <row r="70" spans="1:16">
      <c r="A70" s="7"/>
      <c r="B70" s="66"/>
      <c r="C70" s="68" t="s">
        <v>90</v>
      </c>
      <c r="D70" s="29" t="s">
        <v>91</v>
      </c>
      <c r="E70" s="26">
        <f>0</f>
        <v>0</v>
      </c>
      <c r="F70" s="26">
        <f>IF(F29=FALSE,0,5*B17*B35/Base!B2)</f>
        <v>7.8336000000000004E-5</v>
      </c>
      <c r="G70" s="26">
        <f>IF(G29=FALSE,0,5*B17*B35/Base!B2)</f>
        <v>7.8336000000000004E-5</v>
      </c>
      <c r="H70" s="26">
        <f>IF(H29=FALSE,0,5*B17*B35/Base!B2)</f>
        <v>7.8336000000000004E-5</v>
      </c>
      <c r="I70" s="26">
        <f>IF(I29=FALSE,0,5*B17*B35/Base!B2)</f>
        <v>7.8336000000000004E-5</v>
      </c>
      <c r="J70" s="26">
        <f>IF(J29=FALSE,0,5*B17*B35/Base!B2)</f>
        <v>7.8336000000000004E-5</v>
      </c>
      <c r="K70" s="27">
        <f>SUM(F70:J70)</f>
        <v>3.9168000000000004E-4</v>
      </c>
      <c r="M70" s="42"/>
      <c r="N70" s="42"/>
      <c r="O70" s="42" t="s">
        <v>59</v>
      </c>
      <c r="P70" s="43" t="s">
        <v>49</v>
      </c>
    </row>
    <row r="71" spans="1:16">
      <c r="A71" s="7"/>
      <c r="B71" s="66"/>
      <c r="C71" s="69"/>
      <c r="D71" s="29" t="s">
        <v>92</v>
      </c>
      <c r="E71" s="26">
        <f>2*B17*B18/Base!B1</f>
        <v>2.5634765625E-2</v>
      </c>
      <c r="F71" s="26">
        <f>IF(F29=FALSE,0,2*B35*B17*B18/Base!B2)</f>
        <v>0.280756224</v>
      </c>
      <c r="G71" s="26">
        <f>IF(G29=FALSE,0,2*B35*B17*B18/Base!B2)</f>
        <v>0.280756224</v>
      </c>
      <c r="H71" s="26">
        <f>IF(H29=FALSE,0,2*B35*B17*B18/Base!B2)</f>
        <v>0.280756224</v>
      </c>
      <c r="I71" s="26">
        <f>IF(I29=FALSE,0,2*B35*B17*B18/Base!B2)</f>
        <v>0.280756224</v>
      </c>
      <c r="J71" s="26">
        <f>IF(J29=FALSE,0,2*B35*B17*B18/Base!B2)</f>
        <v>0.280756224</v>
      </c>
      <c r="K71" s="27">
        <f>SUM(F71:J71)</f>
        <v>1.4037811200000001</v>
      </c>
      <c r="M71" s="71" t="s">
        <v>68</v>
      </c>
      <c r="N71" s="42" t="s">
        <v>93</v>
      </c>
      <c r="O71" s="42">
        <f>E74</f>
        <v>8.6442947387695312E-2</v>
      </c>
      <c r="P71" s="44">
        <f>K74</f>
        <v>14.026656583680005</v>
      </c>
    </row>
    <row r="72" spans="1:16">
      <c r="A72" s="7"/>
      <c r="B72" s="67"/>
      <c r="C72" s="70"/>
      <c r="D72" s="29" t="s">
        <v>94</v>
      </c>
      <c r="E72" s="26">
        <f>2*B17*B18/Base!B1</f>
        <v>2.5634765625E-2</v>
      </c>
      <c r="F72" s="26">
        <f>IF(F29=FALSE,0,2*B35*B17*B18/Base!B2)</f>
        <v>0.280756224</v>
      </c>
      <c r="G72" s="26">
        <f>IF(G29=FALSE,0,2*B35*B17*B18/Base!B2)</f>
        <v>0.280756224</v>
      </c>
      <c r="H72" s="26">
        <f>IF(H29=FALSE,0,2*B35*B17*B18/Base!B2)</f>
        <v>0.280756224</v>
      </c>
      <c r="I72" s="26">
        <f>IF(I29=FALSE,0,2*B35*B17*B18/Base!B2)</f>
        <v>0.280756224</v>
      </c>
      <c r="J72" s="26">
        <f>IF(J29=FALSE,0,2*B35*B17*B18/Base!B2)</f>
        <v>0.280756224</v>
      </c>
      <c r="K72" s="27">
        <f>SUM(F72:J72)</f>
        <v>1.4037811200000001</v>
      </c>
      <c r="M72" s="72"/>
      <c r="N72" s="42" t="s">
        <v>95</v>
      </c>
      <c r="O72" s="42">
        <f>B24*E74+O62+O50</f>
        <v>2.6720266342163086</v>
      </c>
      <c r="P72" s="44">
        <f>K74*B24+P50+P62</f>
        <v>420.82988002099216</v>
      </c>
    </row>
    <row r="73" spans="1:16">
      <c r="A73" s="7"/>
      <c r="B73" s="45"/>
      <c r="C73" s="20"/>
      <c r="D73" s="29"/>
      <c r="E73" s="29"/>
      <c r="F73" s="29"/>
      <c r="G73" s="29"/>
      <c r="K73" s="34"/>
      <c r="N73" s="46"/>
      <c r="P73" s="47"/>
    </row>
    <row r="74" spans="1:16">
      <c r="A74" s="7"/>
      <c r="B74" s="48"/>
      <c r="C74" s="49"/>
      <c r="D74" s="50" t="s">
        <v>68</v>
      </c>
      <c r="E74" s="50">
        <f t="shared" ref="E74:J74" si="2">SUM(E48:E73)</f>
        <v>8.6442947387695312E-2</v>
      </c>
      <c r="F74" s="50">
        <f t="shared" si="2"/>
        <v>1.5268877967359997</v>
      </c>
      <c r="G74" s="50">
        <f t="shared" si="2"/>
        <v>2.1661095567360009</v>
      </c>
      <c r="H74" s="50">
        <f t="shared" si="2"/>
        <v>2.8053313167360008</v>
      </c>
      <c r="I74" s="50">
        <f t="shared" si="2"/>
        <v>3.4445530767360006</v>
      </c>
      <c r="J74" s="50">
        <f t="shared" si="2"/>
        <v>4.0837748367360005</v>
      </c>
      <c r="K74" s="51">
        <f>SUM(F74:J74)</f>
        <v>14.026656583680005</v>
      </c>
      <c r="L74" s="52"/>
      <c r="M74" s="52"/>
      <c r="N74" s="53"/>
      <c r="O74" s="52"/>
      <c r="P74" s="54"/>
    </row>
    <row r="75" spans="1:16">
      <c r="B75" s="24"/>
      <c r="C75" s="24"/>
      <c r="D75" s="24"/>
      <c r="E75" s="24"/>
      <c r="F75" s="24"/>
      <c r="G75" s="24"/>
    </row>
    <row r="76" spans="1:16">
      <c r="D76" s="19"/>
      <c r="F76" s="32"/>
      <c r="G76" s="32"/>
      <c r="H76" s="32"/>
      <c r="I76" s="32"/>
      <c r="J76" s="32"/>
      <c r="K76" s="32"/>
    </row>
    <row r="80" spans="1:16">
      <c r="F80" s="24"/>
      <c r="G80" s="24"/>
      <c r="H80" s="24"/>
      <c r="I80" s="24"/>
      <c r="J80" s="24"/>
      <c r="K80" s="24"/>
    </row>
    <row r="98" spans="7:10">
      <c r="G98" s="28"/>
      <c r="H98" s="28"/>
      <c r="I98" s="28"/>
      <c r="J98" s="55"/>
    </row>
    <row r="99" spans="7:10">
      <c r="G99" s="24"/>
      <c r="H99" s="24"/>
      <c r="I99" s="24"/>
      <c r="J99" s="24"/>
    </row>
  </sheetData>
  <mergeCells count="8">
    <mergeCell ref="M48:M50"/>
    <mergeCell ref="B45:K45"/>
    <mergeCell ref="B48:B72"/>
    <mergeCell ref="C70:C72"/>
    <mergeCell ref="M71:M72"/>
    <mergeCell ref="C50:C57"/>
    <mergeCell ref="C61:C68"/>
    <mergeCell ref="M57:M62"/>
  </mergeCells>
  <phoneticPr fontId="1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/>
  </sheetViews>
  <sheetFormatPr baseColWidth="10" defaultColWidth="10.83203125" defaultRowHeight="16"/>
  <cols>
    <col min="2" max="2" width="20.83203125" customWidth="1"/>
  </cols>
  <sheetData>
    <row r="1" spans="1:2">
      <c r="A1" s="56" t="s">
        <v>96</v>
      </c>
      <c r="B1" s="57">
        <f>1024*1024*1024</f>
        <v>1073741824</v>
      </c>
    </row>
    <row r="2" spans="1:2">
      <c r="A2" s="56" t="s">
        <v>97</v>
      </c>
      <c r="B2" s="57">
        <f>1000*1000*1000*1000</f>
        <v>1000000000000</v>
      </c>
    </row>
    <row r="3" spans="1:2">
      <c r="A3" s="58" t="s">
        <v>98</v>
      </c>
      <c r="B3" s="59">
        <f>1024*1024*1024</f>
        <v>1073741824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SkyreelsV2-Chunkwise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Xujing Kakaa</cp:lastModifiedBy>
  <dcterms:created xsi:type="dcterms:W3CDTF">2026-01-12T16:53:24Z</dcterms:created>
  <dcterms:modified xsi:type="dcterms:W3CDTF">2026-02-27T05:42:26Z</dcterms:modified>
</cp:coreProperties>
</file>